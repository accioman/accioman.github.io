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cin\Desktop\Corso PMI\"/>
    </mc:Choice>
  </mc:AlternateContent>
  <xr:revisionPtr revIDLastSave="0" documentId="13_ncr:1_{B575AB45-1F7B-4543-BE5D-E4C653A65A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sunzioni" sheetId="1" r:id="rId1"/>
    <sheet name="Costi_W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D34" i="2"/>
  <c r="D33" i="2"/>
  <c r="D32" i="2"/>
  <c r="E27" i="2"/>
  <c r="J27" i="2" s="1"/>
  <c r="J26" i="2"/>
  <c r="E26" i="2"/>
  <c r="E25" i="2"/>
  <c r="J25" i="2" s="1"/>
  <c r="E24" i="2"/>
  <c r="J24" i="2" s="1"/>
  <c r="E23" i="2"/>
  <c r="J23" i="2" s="1"/>
  <c r="J22" i="2"/>
  <c r="E22" i="2"/>
  <c r="E21" i="2"/>
  <c r="J21" i="2" s="1"/>
  <c r="E20" i="2"/>
  <c r="J20" i="2" s="1"/>
  <c r="E19" i="2"/>
  <c r="J19" i="2" s="1"/>
  <c r="J18" i="2"/>
  <c r="E18" i="2"/>
  <c r="E17" i="2"/>
  <c r="J17" i="2" s="1"/>
  <c r="E16" i="2"/>
  <c r="J16" i="2" s="1"/>
  <c r="J15" i="2"/>
  <c r="E15" i="2"/>
  <c r="J14" i="2"/>
  <c r="E14" i="2"/>
  <c r="E13" i="2"/>
  <c r="J13" i="2" s="1"/>
  <c r="E12" i="2"/>
  <c r="J12" i="2" s="1"/>
  <c r="E11" i="2"/>
  <c r="J11" i="2" s="1"/>
  <c r="J10" i="2"/>
  <c r="E10" i="2"/>
  <c r="E9" i="2"/>
  <c r="J9" i="2" s="1"/>
  <c r="E8" i="2"/>
  <c r="J8" i="2" s="1"/>
  <c r="J7" i="2"/>
  <c r="E7" i="2"/>
  <c r="J6" i="2"/>
  <c r="E6" i="2"/>
  <c r="E5" i="2"/>
  <c r="J5" i="2" s="1"/>
  <c r="D36" i="2" l="1"/>
  <c r="D31" i="2"/>
  <c r="D37" i="2" l="1"/>
  <c r="D38" i="2" s="1"/>
</calcChain>
</file>

<file path=xl/sharedStrings.xml><?xml version="1.0" encoding="utf-8"?>
<sst xmlns="http://schemas.openxmlformats.org/spreadsheetml/2006/main" count="148" uniqueCount="111">
  <si>
    <t>Assunzioni economiche</t>
  </si>
  <si>
    <t>Progetto: UrbanPulse OBD Telemetry App</t>
  </si>
  <si>
    <t>Fase</t>
  </si>
  <si>
    <t>Tariffa blended giornaliera (€)</t>
  </si>
  <si>
    <t>Nota</t>
  </si>
  <si>
    <t>Valore</t>
  </si>
  <si>
    <t>Avvio e analisi</t>
  </si>
  <si>
    <t>Team medio: PM + Product + analisi tecnica</t>
  </si>
  <si>
    <t/>
  </si>
  <si>
    <t>Progettazione</t>
  </si>
  <si>
    <t>Team medio: UX + Tech Lead + Data</t>
  </si>
  <si>
    <t>Sviluppo MVP</t>
  </si>
  <si>
    <t>Team medio: Mobile lead + backend/data + supporto PM</t>
  </si>
  <si>
    <t>Test e validazione</t>
  </si>
  <si>
    <t>Team medio: QA + vehicle integration + dev support</t>
  </si>
  <si>
    <t>Rilascio e chiusura</t>
  </si>
  <si>
    <t>Team medio: PM + QA + marketing support</t>
  </si>
  <si>
    <t>Contingenza %</t>
  </si>
  <si>
    <t>Riserva per rischi e rework controllato</t>
  </si>
  <si>
    <t>Struttura di ripartizione delle risorse / costi</t>
  </si>
  <si>
    <t>Data</t>
  </si>
  <si>
    <t>17/03/2026</t>
  </si>
  <si>
    <t>ID WBS</t>
  </si>
  <si>
    <t>Pacchetto di lavoro</t>
  </si>
  <si>
    <t>Durata (gg)</t>
  </si>
  <si>
    <t>Manodopera (€)</t>
  </si>
  <si>
    <t>Software/Cloud (€)</t>
  </si>
  <si>
    <t>Hardware/Test (€)</t>
  </si>
  <si>
    <t>Servizi esterni (€)</t>
  </si>
  <si>
    <t>Trasferte/Formazione (€)</t>
  </si>
  <si>
    <t>Totale pacchetto (€)</t>
  </si>
  <si>
    <t>Commenti costo</t>
  </si>
  <si>
    <t>1.1.1</t>
  </si>
  <si>
    <t>Definire-charter e business case approvati</t>
  </si>
  <si>
    <t>Workshop charter e business case con sponsor</t>
  </si>
  <si>
    <t>1.1.2</t>
  </si>
  <si>
    <t>Raccogliere-requisiti utenti e tecnici validati</t>
  </si>
  <si>
    <t>Interviste requisiti e analisi stakeholder</t>
  </si>
  <si>
    <t>1.1.3</t>
  </si>
  <si>
    <t>Analizzare-standard OBD-II e dispositivi target selezionati</t>
  </si>
  <si>
    <t>Acquisto dongle OBD-II e device matrix iniziale</t>
  </si>
  <si>
    <t>1.1.4</t>
  </si>
  <si>
    <t>Approvare-baseline di progetto condivisa</t>
  </si>
  <si>
    <t>Gate di approvazione baseline</t>
  </si>
  <si>
    <t>1.2.1</t>
  </si>
  <si>
    <t>Disegnare-UX flow e wireframe approvati</t>
  </si>
  <si>
    <t>Tool prototipazione e test di usabilità</t>
  </si>
  <si>
    <t>1.2.2</t>
  </si>
  <si>
    <t>Definire-architettura mobile e cloud approvata</t>
  </si>
  <si>
    <t>Setup architetturale cloud e monitoraggio</t>
  </si>
  <si>
    <t>1.2.3</t>
  </si>
  <si>
    <t>Progettare-modello dati telemetria validato</t>
  </si>
  <si>
    <t>Definizione schema dati telemetria</t>
  </si>
  <si>
    <t>1.2.4</t>
  </si>
  <si>
    <t>Definire-piano test e compliance privacy approvati</t>
  </si>
  <si>
    <t>Revisione compliance privacy e template consenso</t>
  </si>
  <si>
    <t>1.3.1</t>
  </si>
  <si>
    <t>Configurare-ambiente DevOps e repository operativi</t>
  </si>
  <si>
    <t>Configurazione CI/CD, crash analytics e repository</t>
  </si>
  <si>
    <t>1.3.2</t>
  </si>
  <si>
    <t>Sviluppare-modulo pairing Bluetooth OBD-II funzionante</t>
  </si>
  <si>
    <t>Librerie BLE e test su adattatori OBD-II</t>
  </si>
  <si>
    <t>1.3.3</t>
  </si>
  <si>
    <t>Sviluppare-motore acquisizione e parsing PID validato</t>
  </si>
  <si>
    <t>Parsing PID e dataset di validazione</t>
  </si>
  <si>
    <t>1.3.4</t>
  </si>
  <si>
    <t>Sviluppare-dashboard real-time e mappa sessione usabili</t>
  </si>
  <si>
    <t>Mappe, widget telemetrici e ottimizzazioni UI</t>
  </si>
  <si>
    <t>1.3.5</t>
  </si>
  <si>
    <t>Sviluppare-registrazione sessioni, export e sync cloud operativi</t>
  </si>
  <si>
    <t>Storage cloud, export CSV e sincronizzazione</t>
  </si>
  <si>
    <t>1.3.6</t>
  </si>
  <si>
    <t>Integrare-analytics percorsi urbani e circuiti pronte</t>
  </si>
  <si>
    <t>Analytics urbano/circuito e tuning logiche</t>
  </si>
  <si>
    <t>1.4.1</t>
  </si>
  <si>
    <t>Eseguire-test funzionali interni completati</t>
  </si>
  <si>
    <t>Suite test, device lab e regressione</t>
  </si>
  <si>
    <t>1.4.2</t>
  </si>
  <si>
    <t>Eseguire-test urbani su veicolo con OBD reale completati</t>
  </si>
  <si>
    <t>Veicolo urbano, carburante e prove su strada</t>
  </si>
  <si>
    <t>1.4.3</t>
  </si>
  <si>
    <t>Eseguire-test in circuito e tuning metriche completati</t>
  </si>
  <si>
    <t>Noleggio pista, staff supporto e trasferte</t>
  </si>
  <si>
    <t>1.4.4</t>
  </si>
  <si>
    <t>Correggere-difetti prioritari e stabilizzare release candidate</t>
  </si>
  <si>
    <t>Rework correttivo su difetti prioritari</t>
  </si>
  <si>
    <t>1.4.5</t>
  </si>
  <si>
    <t>Validare-sicurezza dati e performance conformi</t>
  </si>
  <si>
    <t>Test performance, sicurezza e check privacy finale</t>
  </si>
  <si>
    <t>1.5.1</t>
  </si>
  <si>
    <t>Preparare-store listing e supporto operativo pronti</t>
  </si>
  <si>
    <t>Store assets, FAQ, runbook e help center</t>
  </si>
  <si>
    <t>1.5.2</t>
  </si>
  <si>
    <t>Rilasciare-MVP a beta tester selezionati</t>
  </si>
  <si>
    <t>Distribuzione beta e supporto utenti pilota</t>
  </si>
  <si>
    <t>1.5.3</t>
  </si>
  <si>
    <t>Raccogliere-feedback finale e go-live approvato</t>
  </si>
  <si>
    <t>Raccolta survey e gate go-live</t>
  </si>
  <si>
    <t>1.5.4</t>
  </si>
  <si>
    <t>Chiudere-progetto e handover operativo completati</t>
  </si>
  <si>
    <t>Documentazione finale e handover</t>
  </si>
  <si>
    <t>Totali per categoria</t>
  </si>
  <si>
    <t>Manodopera</t>
  </si>
  <si>
    <t>Calcolato automaticamente</t>
  </si>
  <si>
    <t>Software/Cloud</t>
  </si>
  <si>
    <t>Hardware/Test</t>
  </si>
  <si>
    <t>Servizi esterni</t>
  </si>
  <si>
    <t>Trasferte/Formazione</t>
  </si>
  <si>
    <t>Totale base progetto</t>
  </si>
  <si>
    <t>Contingenza</t>
  </si>
  <si>
    <t>Totale progetto incl. contingenza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</si>
</sst>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b/>
      <sz val="11"/>
      <name val="Aptos"/>
    </font>
    <font>
      <b/>
      <sz val="11"/>
      <color rgb="FFFFFFFF"/>
      <name val="Aptos"/>
    </font>
    <font>
      <sz val="11"/>
      <color rgb="FF0000FF"/>
      <name val="Aptos"/>
    </font>
    <font>
      <sz val="11"/>
      <color rgb="FF000000"/>
      <name val="Aptos"/>
    </font>
    <font>
      <sz val="11"/>
      <color rgb="FF666666"/>
      <name val="Aptos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BFDFF"/>
      </patternFill>
    </fill>
    <fill>
      <patternFill patternType="solid">
        <fgColor rgb="FFD9E7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C9D2DB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9" fontId="4" fillId="0" borderId="2" xfId="1" applyNumberFormat="1" applyFont="1" applyBorder="1" applyAlignment="1">
      <alignment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0" fillId="3" borderId="2" xfId="1" applyFont="1" applyFill="1" applyBorder="1" applyAlignment="1">
      <alignment horizontal="center" vertical="center" wrapText="1"/>
    </xf>
    <xf numFmtId="0" fontId="0" fillId="3" borderId="2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center" vertical="center" wrapText="1"/>
    </xf>
    <xf numFmtId="164" fontId="5" fillId="3" borderId="2" xfId="1" applyNumberFormat="1" applyFont="1" applyFill="1" applyBorder="1" applyAlignment="1">
      <alignment horizontal="center" vertical="center" wrapText="1"/>
    </xf>
    <xf numFmtId="164" fontId="4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1" fillId="2" borderId="0" xfId="1" applyFont="1" applyFill="1"/>
    <xf numFmtId="0" fontId="0" fillId="0" borderId="0" xfId="0"/>
    <xf numFmtId="0" fontId="6" fillId="0" borderId="0" xfId="1" applyFont="1" applyAlignment="1">
      <alignment wrapText="1"/>
    </xf>
    <xf numFmtId="0" fontId="2" fillId="5" borderId="0" xfId="1" applyFont="1" applyFill="1"/>
    <xf numFmtId="164" fontId="5" fillId="0" borderId="0" xfId="1" applyNumberFormat="1" applyFont="1" applyAlignment="1">
      <alignment horizontal="center"/>
    </xf>
    <xf numFmtId="0" fontId="2" fillId="4" borderId="0" xfId="1" applyFont="1" applyFill="1"/>
    <xf numFmtId="0" fontId="3" fillId="2" borderId="0" xfId="1" applyFont="1" applyFill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showGridLines="0" tabSelected="1" workbookViewId="0">
      <selection sqref="A1:D1"/>
    </sheetView>
  </sheetViews>
  <sheetFormatPr defaultRowHeight="15" x14ac:dyDescent="0.25"/>
  <cols>
    <col min="1" max="1" width="42.140625" bestFit="1" customWidth="1"/>
    <col min="2" max="2" width="15.85546875" bestFit="1" customWidth="1"/>
    <col min="3" max="3" width="48" customWidth="1"/>
    <col min="4" max="4" width="7.28515625" bestFit="1" customWidth="1"/>
  </cols>
  <sheetData>
    <row r="1" spans="1:4" ht="21" x14ac:dyDescent="0.35">
      <c r="A1" s="18" t="s">
        <v>0</v>
      </c>
      <c r="B1" s="19"/>
      <c r="C1" s="19"/>
      <c r="D1" s="19"/>
    </row>
    <row r="2" spans="1:4" x14ac:dyDescent="0.25">
      <c r="A2" s="1" t="s">
        <v>1</v>
      </c>
    </row>
    <row r="4" spans="1:4" ht="30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s="3" t="s">
        <v>6</v>
      </c>
      <c r="B5" s="4">
        <v>650</v>
      </c>
      <c r="C5" s="3" t="s">
        <v>7</v>
      </c>
      <c r="D5" s="3" t="s">
        <v>8</v>
      </c>
    </row>
    <row r="6" spans="1:4" x14ac:dyDescent="0.25">
      <c r="A6" s="3" t="s">
        <v>9</v>
      </c>
      <c r="B6" s="4">
        <v>750</v>
      </c>
      <c r="C6" s="3" t="s">
        <v>10</v>
      </c>
      <c r="D6" s="3" t="s">
        <v>8</v>
      </c>
    </row>
    <row r="7" spans="1:4" ht="30" x14ac:dyDescent="0.25">
      <c r="A7" s="3" t="s">
        <v>11</v>
      </c>
      <c r="B7" s="4">
        <v>1050</v>
      </c>
      <c r="C7" s="3" t="s">
        <v>12</v>
      </c>
      <c r="D7" s="3" t="s">
        <v>8</v>
      </c>
    </row>
    <row r="8" spans="1:4" x14ac:dyDescent="0.25">
      <c r="A8" s="3" t="s">
        <v>13</v>
      </c>
      <c r="B8" s="4">
        <v>850</v>
      </c>
      <c r="C8" s="3" t="s">
        <v>14</v>
      </c>
      <c r="D8" s="3" t="s">
        <v>8</v>
      </c>
    </row>
    <row r="9" spans="1:4" x14ac:dyDescent="0.25">
      <c r="A9" s="3" t="s">
        <v>15</v>
      </c>
      <c r="B9" s="4">
        <v>600</v>
      </c>
      <c r="C9" s="3" t="s">
        <v>16</v>
      </c>
      <c r="D9" s="3" t="s">
        <v>8</v>
      </c>
    </row>
    <row r="10" spans="1:4" x14ac:dyDescent="0.25">
      <c r="A10" s="3" t="s">
        <v>17</v>
      </c>
      <c r="B10" s="3" t="s">
        <v>8</v>
      </c>
      <c r="C10" s="3" t="s">
        <v>18</v>
      </c>
      <c r="D10" s="5">
        <v>0.1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showGridLines="0" workbookViewId="0"/>
  </sheetViews>
  <sheetFormatPr defaultRowHeight="15" x14ac:dyDescent="0.25"/>
  <cols>
    <col min="1" max="1" width="12" customWidth="1"/>
    <col min="2" max="2" width="18" customWidth="1"/>
    <col min="3" max="3" width="40" customWidth="1"/>
    <col min="4" max="4" width="12" customWidth="1"/>
    <col min="5" max="8" width="16" customWidth="1"/>
    <col min="9" max="9" width="18" customWidth="1"/>
    <col min="10" max="10" width="17" customWidth="1"/>
    <col min="11" max="11" width="42" customWidth="1"/>
  </cols>
  <sheetData>
    <row r="1" spans="1:11" ht="21" x14ac:dyDescent="0.35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" t="s">
        <v>1</v>
      </c>
      <c r="I2" t="s">
        <v>20</v>
      </c>
      <c r="J2" t="s">
        <v>21</v>
      </c>
    </row>
    <row r="4" spans="1:11" ht="30" x14ac:dyDescent="0.25">
      <c r="A4" s="2" t="s">
        <v>22</v>
      </c>
      <c r="B4" s="2" t="s">
        <v>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</row>
    <row r="5" spans="1:11" ht="32.1" customHeight="1" x14ac:dyDescent="0.25">
      <c r="A5" s="6" t="s">
        <v>32</v>
      </c>
      <c r="B5" s="7" t="s">
        <v>6</v>
      </c>
      <c r="C5" s="7" t="s">
        <v>33</v>
      </c>
      <c r="D5" s="8">
        <v>3</v>
      </c>
      <c r="E5" s="9">
        <f>D5*Assunzioni!$B$5</f>
        <v>1950</v>
      </c>
      <c r="F5" s="10">
        <v>0</v>
      </c>
      <c r="G5" s="10">
        <v>0</v>
      </c>
      <c r="H5" s="10">
        <v>1200</v>
      </c>
      <c r="I5" s="10">
        <v>0</v>
      </c>
      <c r="J5" s="9">
        <f t="shared" ref="J5:J27" si="0">SUM(E5:I5)</f>
        <v>3150</v>
      </c>
      <c r="K5" s="11" t="s">
        <v>34</v>
      </c>
    </row>
    <row r="6" spans="1:11" ht="32.1" customHeight="1" x14ac:dyDescent="0.25">
      <c r="A6" s="12" t="s">
        <v>35</v>
      </c>
      <c r="B6" s="13" t="s">
        <v>6</v>
      </c>
      <c r="C6" s="13" t="s">
        <v>36</v>
      </c>
      <c r="D6" s="14">
        <v>5</v>
      </c>
      <c r="E6" s="15">
        <f>D6*Assunzioni!$B$5</f>
        <v>3250</v>
      </c>
      <c r="F6" s="16">
        <v>0</v>
      </c>
      <c r="G6" s="16">
        <v>0</v>
      </c>
      <c r="H6" s="16">
        <v>0</v>
      </c>
      <c r="I6" s="16">
        <v>0</v>
      </c>
      <c r="J6" s="15">
        <f t="shared" si="0"/>
        <v>3250</v>
      </c>
      <c r="K6" s="17" t="s">
        <v>37</v>
      </c>
    </row>
    <row r="7" spans="1:11" ht="32.1" customHeight="1" x14ac:dyDescent="0.25">
      <c r="A7" s="6" t="s">
        <v>38</v>
      </c>
      <c r="B7" s="7" t="s">
        <v>6</v>
      </c>
      <c r="C7" s="7" t="s">
        <v>39</v>
      </c>
      <c r="D7" s="8">
        <v>4</v>
      </c>
      <c r="E7" s="9">
        <f>D7*Assunzioni!$B$5</f>
        <v>2600</v>
      </c>
      <c r="F7" s="10">
        <v>400</v>
      </c>
      <c r="G7" s="10">
        <v>1800</v>
      </c>
      <c r="H7" s="10">
        <v>0</v>
      </c>
      <c r="I7" s="10">
        <v>0</v>
      </c>
      <c r="J7" s="9">
        <f t="shared" si="0"/>
        <v>4800</v>
      </c>
      <c r="K7" s="11" t="s">
        <v>40</v>
      </c>
    </row>
    <row r="8" spans="1:11" ht="32.1" customHeight="1" x14ac:dyDescent="0.25">
      <c r="A8" s="12" t="s">
        <v>41</v>
      </c>
      <c r="B8" s="13" t="s">
        <v>6</v>
      </c>
      <c r="C8" s="13" t="s">
        <v>42</v>
      </c>
      <c r="D8" s="14">
        <v>2</v>
      </c>
      <c r="E8" s="15">
        <f>D8*Assunzioni!$B$5</f>
        <v>1300</v>
      </c>
      <c r="F8" s="16">
        <v>0</v>
      </c>
      <c r="G8" s="16">
        <v>0</v>
      </c>
      <c r="H8" s="16">
        <v>0</v>
      </c>
      <c r="I8" s="16">
        <v>0</v>
      </c>
      <c r="J8" s="15">
        <f t="shared" si="0"/>
        <v>1300</v>
      </c>
      <c r="K8" s="17" t="s">
        <v>43</v>
      </c>
    </row>
    <row r="9" spans="1:11" ht="32.1" customHeight="1" x14ac:dyDescent="0.25">
      <c r="A9" s="6" t="s">
        <v>44</v>
      </c>
      <c r="B9" s="7" t="s">
        <v>9</v>
      </c>
      <c r="C9" s="7" t="s">
        <v>45</v>
      </c>
      <c r="D9" s="8">
        <v>5</v>
      </c>
      <c r="E9" s="9">
        <f>D9*Assunzioni!$B$6</f>
        <v>3750</v>
      </c>
      <c r="F9" s="10">
        <v>500</v>
      </c>
      <c r="G9" s="10">
        <v>0</v>
      </c>
      <c r="H9" s="10">
        <v>0</v>
      </c>
      <c r="I9" s="10">
        <v>0</v>
      </c>
      <c r="J9" s="9">
        <f t="shared" si="0"/>
        <v>4250</v>
      </c>
      <c r="K9" s="11" t="s">
        <v>46</v>
      </c>
    </row>
    <row r="10" spans="1:11" ht="32.1" customHeight="1" x14ac:dyDescent="0.25">
      <c r="A10" s="12" t="s">
        <v>47</v>
      </c>
      <c r="B10" s="13" t="s">
        <v>9</v>
      </c>
      <c r="C10" s="13" t="s">
        <v>48</v>
      </c>
      <c r="D10" s="14">
        <v>4</v>
      </c>
      <c r="E10" s="15">
        <f>D10*Assunzioni!$B$6</f>
        <v>3000</v>
      </c>
      <c r="F10" s="16">
        <v>800</v>
      </c>
      <c r="G10" s="16">
        <v>0</v>
      </c>
      <c r="H10" s="16">
        <v>0</v>
      </c>
      <c r="I10" s="16">
        <v>0</v>
      </c>
      <c r="J10" s="15">
        <f t="shared" si="0"/>
        <v>3800</v>
      </c>
      <c r="K10" s="17" t="s">
        <v>49</v>
      </c>
    </row>
    <row r="11" spans="1:11" ht="32.1" customHeight="1" x14ac:dyDescent="0.25">
      <c r="A11" s="6" t="s">
        <v>50</v>
      </c>
      <c r="B11" s="7" t="s">
        <v>9</v>
      </c>
      <c r="C11" s="7" t="s">
        <v>51</v>
      </c>
      <c r="D11" s="8">
        <v>3</v>
      </c>
      <c r="E11" s="9">
        <f>D11*Assunzioni!$B$6</f>
        <v>2250</v>
      </c>
      <c r="F11" s="10">
        <v>300</v>
      </c>
      <c r="G11" s="10">
        <v>0</v>
      </c>
      <c r="H11" s="10">
        <v>0</v>
      </c>
      <c r="I11" s="10">
        <v>0</v>
      </c>
      <c r="J11" s="9">
        <f t="shared" si="0"/>
        <v>2550</v>
      </c>
      <c r="K11" s="11" t="s">
        <v>52</v>
      </c>
    </row>
    <row r="12" spans="1:11" ht="32.1" customHeight="1" x14ac:dyDescent="0.25">
      <c r="A12" s="12" t="s">
        <v>53</v>
      </c>
      <c r="B12" s="13" t="s">
        <v>9</v>
      </c>
      <c r="C12" s="13" t="s">
        <v>54</v>
      </c>
      <c r="D12" s="14">
        <v>3</v>
      </c>
      <c r="E12" s="15">
        <f>D12*Assunzioni!$B$6</f>
        <v>2250</v>
      </c>
      <c r="F12" s="16">
        <v>0</v>
      </c>
      <c r="G12" s="16">
        <v>0</v>
      </c>
      <c r="H12" s="16">
        <v>1500</v>
      </c>
      <c r="I12" s="16">
        <v>0</v>
      </c>
      <c r="J12" s="15">
        <f t="shared" si="0"/>
        <v>3750</v>
      </c>
      <c r="K12" s="17" t="s">
        <v>55</v>
      </c>
    </row>
    <row r="13" spans="1:11" ht="32.1" customHeight="1" x14ac:dyDescent="0.25">
      <c r="A13" s="6" t="s">
        <v>56</v>
      </c>
      <c r="B13" s="7" t="s">
        <v>11</v>
      </c>
      <c r="C13" s="7" t="s">
        <v>57</v>
      </c>
      <c r="D13" s="8">
        <v>3</v>
      </c>
      <c r="E13" s="9">
        <f>D13*Assunzioni!$B$7</f>
        <v>3150</v>
      </c>
      <c r="F13" s="10">
        <v>1200</v>
      </c>
      <c r="G13" s="10">
        <v>0</v>
      </c>
      <c r="H13" s="10">
        <v>0</v>
      </c>
      <c r="I13" s="10">
        <v>0</v>
      </c>
      <c r="J13" s="9">
        <f t="shared" si="0"/>
        <v>4350</v>
      </c>
      <c r="K13" s="11" t="s">
        <v>58</v>
      </c>
    </row>
    <row r="14" spans="1:11" ht="32.1" customHeight="1" x14ac:dyDescent="0.25">
      <c r="A14" s="12" t="s">
        <v>59</v>
      </c>
      <c r="B14" s="13" t="s">
        <v>11</v>
      </c>
      <c r="C14" s="13" t="s">
        <v>60</v>
      </c>
      <c r="D14" s="14">
        <v>8</v>
      </c>
      <c r="E14" s="15">
        <f>D14*Assunzioni!$B$7</f>
        <v>8400</v>
      </c>
      <c r="F14" s="16">
        <v>600</v>
      </c>
      <c r="G14" s="16">
        <v>800</v>
      </c>
      <c r="H14" s="16">
        <v>0</v>
      </c>
      <c r="I14" s="16">
        <v>0</v>
      </c>
      <c r="J14" s="15">
        <f t="shared" si="0"/>
        <v>9800</v>
      </c>
      <c r="K14" s="17" t="s">
        <v>61</v>
      </c>
    </row>
    <row r="15" spans="1:11" ht="32.1" customHeight="1" x14ac:dyDescent="0.25">
      <c r="A15" s="6" t="s">
        <v>62</v>
      </c>
      <c r="B15" s="7" t="s">
        <v>11</v>
      </c>
      <c r="C15" s="7" t="s">
        <v>63</v>
      </c>
      <c r="D15" s="8">
        <v>10</v>
      </c>
      <c r="E15" s="9">
        <f>D15*Assunzioni!$B$7</f>
        <v>10500</v>
      </c>
      <c r="F15" s="10">
        <v>1000</v>
      </c>
      <c r="G15" s="10">
        <v>600</v>
      </c>
      <c r="H15" s="10">
        <v>0</v>
      </c>
      <c r="I15" s="10">
        <v>0</v>
      </c>
      <c r="J15" s="9">
        <f t="shared" si="0"/>
        <v>12100</v>
      </c>
      <c r="K15" s="11" t="s">
        <v>64</v>
      </c>
    </row>
    <row r="16" spans="1:11" ht="32.1" customHeight="1" x14ac:dyDescent="0.25">
      <c r="A16" s="12" t="s">
        <v>65</v>
      </c>
      <c r="B16" s="13" t="s">
        <v>11</v>
      </c>
      <c r="C16" s="13" t="s">
        <v>66</v>
      </c>
      <c r="D16" s="14">
        <v>9</v>
      </c>
      <c r="E16" s="15">
        <f>D16*Assunzioni!$B$7</f>
        <v>9450</v>
      </c>
      <c r="F16" s="16">
        <v>900</v>
      </c>
      <c r="G16" s="16">
        <v>0</v>
      </c>
      <c r="H16" s="16">
        <v>0</v>
      </c>
      <c r="I16" s="16">
        <v>0</v>
      </c>
      <c r="J16" s="15">
        <f t="shared" si="0"/>
        <v>10350</v>
      </c>
      <c r="K16" s="17" t="s">
        <v>67</v>
      </c>
    </row>
    <row r="17" spans="1:11" ht="32.1" customHeight="1" x14ac:dyDescent="0.25">
      <c r="A17" s="6" t="s">
        <v>68</v>
      </c>
      <c r="B17" s="7" t="s">
        <v>11</v>
      </c>
      <c r="C17" s="7" t="s">
        <v>69</v>
      </c>
      <c r="D17" s="8">
        <v>8</v>
      </c>
      <c r="E17" s="9">
        <f>D17*Assunzioni!$B$7</f>
        <v>8400</v>
      </c>
      <c r="F17" s="10">
        <v>1000</v>
      </c>
      <c r="G17" s="10">
        <v>0</v>
      </c>
      <c r="H17" s="10">
        <v>0</v>
      </c>
      <c r="I17" s="10">
        <v>0</v>
      </c>
      <c r="J17" s="9">
        <f t="shared" si="0"/>
        <v>9400</v>
      </c>
      <c r="K17" s="11" t="s">
        <v>70</v>
      </c>
    </row>
    <row r="18" spans="1:11" ht="32.1" customHeight="1" x14ac:dyDescent="0.25">
      <c r="A18" s="12" t="s">
        <v>71</v>
      </c>
      <c r="B18" s="13" t="s">
        <v>11</v>
      </c>
      <c r="C18" s="13" t="s">
        <v>72</v>
      </c>
      <c r="D18" s="14">
        <v>6</v>
      </c>
      <c r="E18" s="15">
        <f>D18*Assunzioni!$B$7</f>
        <v>6300</v>
      </c>
      <c r="F18" s="16">
        <v>600</v>
      </c>
      <c r="G18" s="16">
        <v>1200</v>
      </c>
      <c r="H18" s="16">
        <v>0</v>
      </c>
      <c r="I18" s="16">
        <v>0</v>
      </c>
      <c r="J18" s="15">
        <f t="shared" si="0"/>
        <v>8100</v>
      </c>
      <c r="K18" s="17" t="s">
        <v>73</v>
      </c>
    </row>
    <row r="19" spans="1:11" ht="32.1" customHeight="1" x14ac:dyDescent="0.25">
      <c r="A19" s="6" t="s">
        <v>74</v>
      </c>
      <c r="B19" s="7" t="s">
        <v>13</v>
      </c>
      <c r="C19" s="7" t="s">
        <v>75</v>
      </c>
      <c r="D19" s="8">
        <v>5</v>
      </c>
      <c r="E19" s="9">
        <f>D19*Assunzioni!$B$8</f>
        <v>4250</v>
      </c>
      <c r="F19" s="10">
        <v>0</v>
      </c>
      <c r="G19" s="10">
        <v>400</v>
      </c>
      <c r="H19" s="10">
        <v>0</v>
      </c>
      <c r="I19" s="10">
        <v>0</v>
      </c>
      <c r="J19" s="9">
        <f t="shared" si="0"/>
        <v>4650</v>
      </c>
      <c r="K19" s="11" t="s">
        <v>76</v>
      </c>
    </row>
    <row r="20" spans="1:11" ht="32.1" customHeight="1" x14ac:dyDescent="0.25">
      <c r="A20" s="12" t="s">
        <v>77</v>
      </c>
      <c r="B20" s="13" t="s">
        <v>13</v>
      </c>
      <c r="C20" s="13" t="s">
        <v>78</v>
      </c>
      <c r="D20" s="14">
        <v>5</v>
      </c>
      <c r="E20" s="15">
        <f>D20*Assunzioni!$B$8</f>
        <v>4250</v>
      </c>
      <c r="F20" s="16">
        <v>0</v>
      </c>
      <c r="G20" s="16">
        <v>1500</v>
      </c>
      <c r="H20" s="16">
        <v>0</v>
      </c>
      <c r="I20" s="16">
        <v>900</v>
      </c>
      <c r="J20" s="15">
        <f t="shared" si="0"/>
        <v>6650</v>
      </c>
      <c r="K20" s="17" t="s">
        <v>79</v>
      </c>
    </row>
    <row r="21" spans="1:11" ht="32.1" customHeight="1" x14ac:dyDescent="0.25">
      <c r="A21" s="6" t="s">
        <v>80</v>
      </c>
      <c r="B21" s="7" t="s">
        <v>13</v>
      </c>
      <c r="C21" s="7" t="s">
        <v>81</v>
      </c>
      <c r="D21" s="8">
        <v>4</v>
      </c>
      <c r="E21" s="9">
        <f>D21*Assunzioni!$B$8</f>
        <v>3400</v>
      </c>
      <c r="F21" s="10">
        <v>0</v>
      </c>
      <c r="G21" s="10">
        <v>2400</v>
      </c>
      <c r="H21" s="10">
        <v>1800</v>
      </c>
      <c r="I21" s="10">
        <v>1200</v>
      </c>
      <c r="J21" s="9">
        <f t="shared" si="0"/>
        <v>8800</v>
      </c>
      <c r="K21" s="11" t="s">
        <v>82</v>
      </c>
    </row>
    <row r="22" spans="1:11" ht="32.1" customHeight="1" x14ac:dyDescent="0.25">
      <c r="A22" s="12" t="s">
        <v>83</v>
      </c>
      <c r="B22" s="13" t="s">
        <v>13</v>
      </c>
      <c r="C22" s="13" t="s">
        <v>84</v>
      </c>
      <c r="D22" s="14">
        <v>6</v>
      </c>
      <c r="E22" s="15">
        <f>D22*Assunzioni!$B$8</f>
        <v>5100</v>
      </c>
      <c r="F22" s="16">
        <v>0</v>
      </c>
      <c r="G22" s="16">
        <v>0</v>
      </c>
      <c r="H22" s="16">
        <v>0</v>
      </c>
      <c r="I22" s="16">
        <v>0</v>
      </c>
      <c r="J22" s="15">
        <f t="shared" si="0"/>
        <v>5100</v>
      </c>
      <c r="K22" s="17" t="s">
        <v>85</v>
      </c>
    </row>
    <row r="23" spans="1:11" ht="32.1" customHeight="1" x14ac:dyDescent="0.25">
      <c r="A23" s="6" t="s">
        <v>86</v>
      </c>
      <c r="B23" s="7" t="s">
        <v>13</v>
      </c>
      <c r="C23" s="7" t="s">
        <v>87</v>
      </c>
      <c r="D23" s="8">
        <v>3</v>
      </c>
      <c r="E23" s="9">
        <f>D23*Assunzioni!$B$8</f>
        <v>2550</v>
      </c>
      <c r="F23" s="10">
        <v>300</v>
      </c>
      <c r="G23" s="10">
        <v>0</v>
      </c>
      <c r="H23" s="10">
        <v>2200</v>
      </c>
      <c r="I23" s="10">
        <v>0</v>
      </c>
      <c r="J23" s="9">
        <f t="shared" si="0"/>
        <v>5050</v>
      </c>
      <c r="K23" s="11" t="s">
        <v>88</v>
      </c>
    </row>
    <row r="24" spans="1:11" ht="32.1" customHeight="1" x14ac:dyDescent="0.25">
      <c r="A24" s="12" t="s">
        <v>89</v>
      </c>
      <c r="B24" s="13" t="s">
        <v>15</v>
      </c>
      <c r="C24" s="13" t="s">
        <v>90</v>
      </c>
      <c r="D24" s="14">
        <v>4</v>
      </c>
      <c r="E24" s="15">
        <f>D24*Assunzioni!$B$9</f>
        <v>2400</v>
      </c>
      <c r="F24" s="16">
        <v>200</v>
      </c>
      <c r="G24" s="16">
        <v>0</v>
      </c>
      <c r="H24" s="16">
        <v>0</v>
      </c>
      <c r="I24" s="16">
        <v>0</v>
      </c>
      <c r="J24" s="15">
        <f t="shared" si="0"/>
        <v>2600</v>
      </c>
      <c r="K24" s="17" t="s">
        <v>91</v>
      </c>
    </row>
    <row r="25" spans="1:11" ht="32.1" customHeight="1" x14ac:dyDescent="0.25">
      <c r="A25" s="6" t="s">
        <v>92</v>
      </c>
      <c r="B25" s="7" t="s">
        <v>15</v>
      </c>
      <c r="C25" s="7" t="s">
        <v>93</v>
      </c>
      <c r="D25" s="8">
        <v>3</v>
      </c>
      <c r="E25" s="9">
        <f>D25*Assunzioni!$B$9</f>
        <v>1800</v>
      </c>
      <c r="F25" s="10">
        <v>400</v>
      </c>
      <c r="G25" s="10">
        <v>0</v>
      </c>
      <c r="H25" s="10">
        <v>0</v>
      </c>
      <c r="I25" s="10">
        <v>0</v>
      </c>
      <c r="J25" s="9">
        <f t="shared" si="0"/>
        <v>2200</v>
      </c>
      <c r="K25" s="11" t="s">
        <v>94</v>
      </c>
    </row>
    <row r="26" spans="1:11" ht="32.1" customHeight="1" x14ac:dyDescent="0.25">
      <c r="A26" s="12" t="s">
        <v>95</v>
      </c>
      <c r="B26" s="13" t="s">
        <v>15</v>
      </c>
      <c r="C26" s="13" t="s">
        <v>96</v>
      </c>
      <c r="D26" s="14">
        <v>3</v>
      </c>
      <c r="E26" s="15">
        <f>D26*Assunzioni!$B$9</f>
        <v>1800</v>
      </c>
      <c r="F26" s="16">
        <v>0</v>
      </c>
      <c r="G26" s="16">
        <v>0</v>
      </c>
      <c r="H26" s="16">
        <v>0</v>
      </c>
      <c r="I26" s="16">
        <v>0</v>
      </c>
      <c r="J26" s="15">
        <f t="shared" si="0"/>
        <v>1800</v>
      </c>
      <c r="K26" s="17" t="s">
        <v>97</v>
      </c>
    </row>
    <row r="27" spans="1:11" ht="32.1" customHeight="1" x14ac:dyDescent="0.25">
      <c r="A27" s="6" t="s">
        <v>98</v>
      </c>
      <c r="B27" s="7" t="s">
        <v>15</v>
      </c>
      <c r="C27" s="7" t="s">
        <v>99</v>
      </c>
      <c r="D27" s="8">
        <v>2</v>
      </c>
      <c r="E27" s="9">
        <f>D27*Assunzioni!$B$9</f>
        <v>1200</v>
      </c>
      <c r="F27" s="10">
        <v>0</v>
      </c>
      <c r="G27" s="10">
        <v>0</v>
      </c>
      <c r="H27" s="10">
        <v>0</v>
      </c>
      <c r="I27" s="10">
        <v>0</v>
      </c>
      <c r="J27" s="9">
        <f t="shared" si="0"/>
        <v>1200</v>
      </c>
      <c r="K27" s="11" t="s">
        <v>100</v>
      </c>
    </row>
    <row r="30" spans="1:11" x14ac:dyDescent="0.25">
      <c r="A30" s="24" t="s">
        <v>101</v>
      </c>
      <c r="B30" s="19"/>
      <c r="C30" s="19"/>
      <c r="D30" s="19"/>
    </row>
    <row r="31" spans="1:11" ht="21.95" customHeight="1" x14ac:dyDescent="0.25">
      <c r="A31" s="23" t="s">
        <v>102</v>
      </c>
      <c r="B31" s="19"/>
      <c r="C31" s="19"/>
      <c r="D31" s="22">
        <f>SUM(E5:E27)</f>
        <v>93300</v>
      </c>
      <c r="E31" s="19"/>
      <c r="F31" s="20" t="s">
        <v>103</v>
      </c>
      <c r="G31" s="19"/>
      <c r="H31" s="19"/>
    </row>
    <row r="32" spans="1:11" ht="21.95" customHeight="1" x14ac:dyDescent="0.25">
      <c r="A32" s="23" t="s">
        <v>104</v>
      </c>
      <c r="B32" s="19"/>
      <c r="C32" s="19"/>
      <c r="D32" s="22">
        <f>SUM(F5:F27)</f>
        <v>8200</v>
      </c>
      <c r="E32" s="19"/>
      <c r="F32" s="20" t="s">
        <v>103</v>
      </c>
      <c r="G32" s="19"/>
      <c r="H32" s="19"/>
    </row>
    <row r="33" spans="1:8" ht="21.95" customHeight="1" x14ac:dyDescent="0.25">
      <c r="A33" s="23" t="s">
        <v>105</v>
      </c>
      <c r="B33" s="19"/>
      <c r="C33" s="19"/>
      <c r="D33" s="22">
        <f>SUM(G5:G27)</f>
        <v>8700</v>
      </c>
      <c r="E33" s="19"/>
      <c r="F33" s="20" t="s">
        <v>103</v>
      </c>
      <c r="G33" s="19"/>
      <c r="H33" s="19"/>
    </row>
    <row r="34" spans="1:8" ht="21.95" customHeight="1" x14ac:dyDescent="0.25">
      <c r="A34" s="23" t="s">
        <v>106</v>
      </c>
      <c r="B34" s="19"/>
      <c r="C34" s="19"/>
      <c r="D34" s="22">
        <f>SUM(H5:H27)</f>
        <v>6700</v>
      </c>
      <c r="E34" s="19"/>
      <c r="F34" s="20" t="s">
        <v>103</v>
      </c>
      <c r="G34" s="19"/>
      <c r="H34" s="19"/>
    </row>
    <row r="35" spans="1:8" ht="21.95" customHeight="1" x14ac:dyDescent="0.25">
      <c r="A35" s="23" t="s">
        <v>107</v>
      </c>
      <c r="B35" s="19"/>
      <c r="C35" s="19"/>
      <c r="D35" s="22">
        <f>SUM(I5:I27)</f>
        <v>2100</v>
      </c>
      <c r="E35" s="19"/>
      <c r="F35" s="20" t="s">
        <v>103</v>
      </c>
      <c r="G35" s="19"/>
      <c r="H35" s="19"/>
    </row>
    <row r="36" spans="1:8" ht="21.95" customHeight="1" x14ac:dyDescent="0.25">
      <c r="A36" s="23" t="s">
        <v>108</v>
      </c>
      <c r="B36" s="19"/>
      <c r="C36" s="19"/>
      <c r="D36" s="22">
        <f>SUM(J5:J27)</f>
        <v>119000</v>
      </c>
      <c r="E36" s="19"/>
      <c r="F36" s="20" t="s">
        <v>103</v>
      </c>
      <c r="G36" s="19"/>
      <c r="H36" s="19"/>
    </row>
    <row r="37" spans="1:8" ht="21.95" customHeight="1" x14ac:dyDescent="0.25">
      <c r="A37" s="21" t="s">
        <v>109</v>
      </c>
      <c r="B37" s="19"/>
      <c r="C37" s="19"/>
      <c r="D37" s="22">
        <f>D36*Assunzioni!$D$10</f>
        <v>11900</v>
      </c>
      <c r="E37" s="19"/>
      <c r="F37" s="20" t="s">
        <v>103</v>
      </c>
      <c r="G37" s="19"/>
      <c r="H37" s="19"/>
    </row>
    <row r="38" spans="1:8" ht="21.95" customHeight="1" x14ac:dyDescent="0.25">
      <c r="A38" s="21" t="s">
        <v>110</v>
      </c>
      <c r="B38" s="19"/>
      <c r="C38" s="19"/>
      <c r="D38" s="22">
        <f>D36+D37</f>
        <v>130900</v>
      </c>
      <c r="E38" s="19"/>
      <c r="F38" s="20" t="s">
        <v>103</v>
      </c>
      <c r="G38" s="19"/>
      <c r="H38" s="19"/>
    </row>
  </sheetData>
  <mergeCells count="26">
    <mergeCell ref="D38:E38"/>
    <mergeCell ref="D35:E35"/>
    <mergeCell ref="D31:E31"/>
    <mergeCell ref="A1:K1"/>
    <mergeCell ref="F38:H38"/>
    <mergeCell ref="A33:C33"/>
    <mergeCell ref="F31:H31"/>
    <mergeCell ref="A32:C32"/>
    <mergeCell ref="A30:D30"/>
    <mergeCell ref="D32:E32"/>
    <mergeCell ref="A35:C35"/>
    <mergeCell ref="F37:H37"/>
    <mergeCell ref="A38:C38"/>
    <mergeCell ref="A31:C31"/>
    <mergeCell ref="D37:E37"/>
    <mergeCell ref="A34:C34"/>
    <mergeCell ref="F34:H34"/>
    <mergeCell ref="A36:C36"/>
    <mergeCell ref="F36:H36"/>
    <mergeCell ref="A37:C37"/>
    <mergeCell ref="F33:H33"/>
    <mergeCell ref="D34:E34"/>
    <mergeCell ref="F32:H32"/>
    <mergeCell ref="F35:H35"/>
    <mergeCell ref="D36:E36"/>
    <mergeCell ref="D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Assunzioni</vt:lpstr>
      <vt:lpstr>Costi_WBS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accio</cp:lastModifiedBy>
  <dcterms:modified xsi:type="dcterms:W3CDTF">2026-03-17T13:23:21Z</dcterms:modified>
</cp:coreProperties>
</file>